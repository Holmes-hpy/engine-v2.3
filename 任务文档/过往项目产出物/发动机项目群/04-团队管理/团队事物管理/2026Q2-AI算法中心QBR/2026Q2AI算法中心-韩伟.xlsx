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67" windowHeight="10575" tabRatio="825" activeTab="1"/>
  </bookViews>
  <sheets>
    <sheet name="基本信息" sheetId="10" r:id="rId1"/>
    <sheet name="岗位职责" sheetId="26" r:id="rId2"/>
    <sheet name="级别" sheetId="24" r:id="rId3"/>
    <sheet name="管理基础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<sst xmlns="http://schemas.openxmlformats.org/spreadsheetml/2006/main" count="418" uniqueCount="128">
  <si>
    <t>姓名：</t>
  </si>
  <si>
    <t>韩伟</t>
  </si>
  <si>
    <t>部门：</t>
  </si>
  <si>
    <t>AI算法中心-大模型交付开发组</t>
  </si>
  <si>
    <t>岗位：</t>
  </si>
  <si>
    <t>人工智能团队负责人</t>
  </si>
  <si>
    <t>级别：</t>
  </si>
  <si>
    <t>A7</t>
  </si>
  <si>
    <t>入职日期：</t>
  </si>
  <si>
    <t>直接上级：</t>
  </si>
  <si>
    <t>王甫宁</t>
  </si>
  <si>
    <t>直接下级：</t>
  </si>
  <si>
    <t>李昊泽、张国锋、虞大超、张达、杨进、宋磊</t>
  </si>
  <si>
    <t>序号</t>
  </si>
  <si>
    <t>科目</t>
  </si>
  <si>
    <t>2026年度目标</t>
  </si>
  <si>
    <t>Q1计划</t>
  </si>
  <si>
    <t>Q1完成</t>
  </si>
  <si>
    <t>Q1改进措施</t>
  </si>
  <si>
    <t>排名</t>
  </si>
  <si>
    <t>Q2计划</t>
  </si>
  <si>
    <t>Q2完成</t>
  </si>
  <si>
    <t>Q2改进措施</t>
  </si>
  <si>
    <t>Q3计划</t>
  </si>
  <si>
    <t>Q3完成</t>
  </si>
  <si>
    <t>Q4计划</t>
  </si>
  <si>
    <t>Q4完成</t>
  </si>
  <si>
    <t>执行分解（直接下级）</t>
  </si>
  <si>
    <t>考核ABCD</t>
  </si>
  <si>
    <t>填写说明</t>
  </si>
  <si>
    <t>？：需要填写；X：没有；——：逐季度填写</t>
  </si>
  <si>
    <t>（一）</t>
  </si>
  <si>
    <t>基础业绩</t>
  </si>
  <si>
    <t>收入</t>
  </si>
  <si>
    <t>1.开发效率：推动全体成员使用ai开发工具以提升开发效率  
2.测试强化：核心模块自动化测试覆盖率达70%+，尽早发现系统问题。  
3.团队协作：站会限时15分钟，聚焦核心目标和协作需求。关键信息实时协作，文档共享，减少沟通延迟。  
4.技术提升：每月复盘TOP3缺陷，输出优化方案。</t>
  </si>
  <si>
    <t>1. 编码前完成影响范围、复用方案、测试策略+调用链图分析，减少无效返工。
2. 沉淀高频代码模板库，新接口开发速度提升50%
3. PR模板强制嵌入CODING PLAN记录，量化首次Review通过率与编码时长。
4. 站会新增30秒CODING PLAN同步环节，确保规划习惯落地并持续沉淀可复用资产。</t>
  </si>
  <si>
    <t>立项收入数</t>
  </si>
  <si>
    <t>——</t>
  </si>
  <si>
    <t>王甫宁、韩伟和各组负责人</t>
  </si>
  <si>
    <t>数值</t>
  </si>
  <si>
    <t>净收入数</t>
  </si>
  <si>
    <t>验收数</t>
  </si>
  <si>
    <t>回款数</t>
  </si>
  <si>
    <t>人均收入数</t>
  </si>
  <si>
    <t>团队领导与协作促进</t>
  </si>
  <si>
    <t>团队成员流失率</t>
  </si>
  <si>
    <t>每个Q主动离职人数占团队总人数比例不得高于9%</t>
  </si>
  <si>
    <t>每个Q主动离职人数占团队总人数比例不得高于10%</t>
  </si>
  <si>
    <t>考核</t>
  </si>
  <si>
    <t>团队能力提升</t>
  </si>
  <si>
    <t>每个Q，团队成员技能培训参与率、业务工作会议参与率、工作安排响应率，需达99%</t>
  </si>
  <si>
    <t>每个Q，团队成员技能培训参与率、业务工作会议参与率、工作安排响应率，需达100%</t>
  </si>
  <si>
    <t>100%完成</t>
  </si>
  <si>
    <t>每个Q，团队成员技能培训参与率、业务工作会议参与率、工作安排响应率，需达100%。</t>
  </si>
  <si>
    <t>团队任务分配合理性</t>
  </si>
  <si>
    <t>部门内任务分配均衡，是否存在资源闲置或过载，达标率90%以上</t>
  </si>
  <si>
    <t>合理分配</t>
  </si>
  <si>
    <t>开发效率</t>
  </si>
  <si>
    <t>完成任务个数/人月</t>
  </si>
  <si>
    <t>100%保质保量完成月度最低任务数15个</t>
  </si>
  <si>
    <t>完成100%</t>
  </si>
  <si>
    <t>工作积极性</t>
  </si>
  <si>
    <t>工作饱和度最低110%（依据月度工时总数累计考核）</t>
  </si>
  <si>
    <t>非轻微bug数/上线迭代次数</t>
  </si>
  <si>
    <t>小于3个/每次迭代</t>
  </si>
  <si>
    <t>（二）</t>
  </si>
  <si>
    <t>组织成长</t>
  </si>
  <si>
    <t>招聘</t>
  </si>
  <si>
    <t>A7-A9（核心）</t>
  </si>
  <si>
    <t>x</t>
  </si>
  <si>
    <t>X</t>
  </si>
  <si>
    <t>M1-M3（总监）</t>
  </si>
  <si>
    <t>培养</t>
  </si>
  <si>
    <t>学习</t>
  </si>
  <si>
    <t>五项管理</t>
  </si>
  <si>
    <t>积极参加，认真学习</t>
  </si>
  <si>
    <t>已完成学习</t>
  </si>
  <si>
    <t>行为规范</t>
  </si>
  <si>
    <t>岗位职责</t>
  </si>
  <si>
    <t>通道图</t>
  </si>
  <si>
    <t>企业文化</t>
  </si>
  <si>
    <t>培训</t>
  </si>
  <si>
    <t>产品培训-产品介绍</t>
  </si>
  <si>
    <t>按部门要求积极参加学习，并掌握培训内容</t>
  </si>
  <si>
    <t>已完成</t>
  </si>
  <si>
    <t>前沿技术培训</t>
  </si>
  <si>
    <t>产品培训-产品使用</t>
  </si>
  <si>
    <t>级别</t>
  </si>
  <si>
    <t>说明</t>
  </si>
  <si>
    <t>P级/专家序列</t>
  </si>
  <si>
    <t>M4</t>
  </si>
  <si>
    <t>总经理</t>
  </si>
  <si>
    <t>P7</t>
  </si>
  <si>
    <t>M3</t>
  </si>
  <si>
    <t>总监</t>
  </si>
  <si>
    <t>P6</t>
  </si>
  <si>
    <t>M2</t>
  </si>
  <si>
    <t>P5</t>
  </si>
  <si>
    <t>M1</t>
  </si>
  <si>
    <t>P4</t>
  </si>
  <si>
    <t>A9</t>
  </si>
  <si>
    <t>核心</t>
  </si>
  <si>
    <t>P3</t>
  </si>
  <si>
    <t>A8</t>
  </si>
  <si>
    <t>P2</t>
  </si>
  <si>
    <t>P1</t>
  </si>
  <si>
    <t>A6</t>
  </si>
  <si>
    <t>员工</t>
  </si>
  <si>
    <t>A5</t>
  </si>
  <si>
    <t>A4</t>
  </si>
  <si>
    <t>A3</t>
  </si>
  <si>
    <t>实习生</t>
  </si>
  <si>
    <t>A2</t>
  </si>
  <si>
    <t>A1</t>
  </si>
  <si>
    <t>管理委员会</t>
  </si>
  <si>
    <t>核心管理内容</t>
  </si>
  <si>
    <t>主任</t>
  </si>
  <si>
    <t>副主任</t>
  </si>
  <si>
    <t>人才委员会</t>
  </si>
  <si>
    <t>张颢菡</t>
  </si>
  <si>
    <t>王辉、刘琳琳</t>
  </si>
  <si>
    <t>财经委员会</t>
  </si>
  <si>
    <t>损益分析</t>
  </si>
  <si>
    <t>张渊</t>
  </si>
  <si>
    <t>朱才明</t>
  </si>
  <si>
    <t>目标委员会</t>
  </si>
  <si>
    <t>韩涵</t>
  </si>
  <si>
    <t>温雨晴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</si>
</sst>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(* #,##0_);_(* \(#,##0\);_(* &quot;-&quot;??_);_(@_)"/>
    <numFmt numFmtId="178" formatCode="#,##0_ "/>
  </numFmts>
  <fonts count="31">
    <font>
      <sz val="11"/>
      <color theme="1"/>
      <name val="等线"/>
      <charset val="134"/>
      <scheme val="minor"/>
    </font>
    <font>
      <sz val="10"/>
      <color theme="1"/>
      <name val="Microsoft YaHei Light"/>
      <charset val="134"/>
    </font>
    <font>
      <sz val="10"/>
      <color theme="0"/>
      <name val="Microsoft YaHei Light"/>
      <charset val="134"/>
    </font>
    <font>
      <b/>
      <sz val="10"/>
      <color theme="1"/>
      <name val="Microsoft YaHei Light"/>
      <charset val="134"/>
    </font>
    <font>
      <b/>
      <sz val="10"/>
      <name val="Microsoft YaHei Light"/>
      <charset val="134"/>
    </font>
    <font>
      <sz val="10"/>
      <name val="Microsoft YaHei Light"/>
      <charset val="134"/>
    </font>
    <font>
      <sz val="10.5"/>
      <color theme="1"/>
      <name val="Microsoft YaHei Light"/>
      <charset val="134"/>
    </font>
    <font>
      <b/>
      <sz val="10"/>
      <color theme="0"/>
      <name val="Microsoft YaHei Light"/>
      <charset val="134"/>
    </font>
    <font>
      <sz val="10.5"/>
      <color rgb="FFFF0000"/>
      <name val="Microsoft YaHei Light"/>
      <charset val="134"/>
    </font>
    <font>
      <sz val="10"/>
      <color rgb="FFFF0000"/>
      <name val="Microsoft YaHei Light"/>
      <charset val="134"/>
    </font>
    <font>
      <sz val="10.5"/>
      <name val="Microsoft YaHei Light"/>
      <charset val="134"/>
    </font>
    <font>
      <b/>
      <sz val="10.5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5" fillId="3" borderId="2" xfId="0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5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center" vertical="center"/>
    </xf>
    <xf numFmtId="178" fontId="5" fillId="2" borderId="0" xfId="0" applyNumberFormat="1" applyFont="1" applyFill="1" applyAlignment="1">
      <alignment horizontal="center" vertical="center"/>
    </xf>
    <xf numFmtId="43" fontId="5" fillId="2" borderId="0" xfId="1" applyFont="1" applyFill="1" applyAlignment="1">
      <alignment horizontal="right" vertical="center"/>
    </xf>
    <xf numFmtId="177" fontId="1" fillId="2" borderId="0" xfId="1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7"/>
  <sheetViews>
    <sheetView zoomScale="76" zoomScaleNormal="76" workbookViewId="0">
      <selection activeCell="E16" sqref="E16"/>
    </sheetView>
  </sheetViews>
  <sheetFormatPr defaultColWidth="9" defaultRowHeight="18" customHeight="1" outlineLevelCol="4"/>
  <cols>
    <col min="1" max="1" width="18.3362831858407" style="38" customWidth="1"/>
    <col min="2" max="2" width="38.3362831858407" style="38" customWidth="1"/>
    <col min="3" max="16384" width="9" style="38"/>
  </cols>
  <sheetData>
    <row r="2" customHeight="1" spans="1:5">
      <c r="A2" s="39" t="s">
        <v>0</v>
      </c>
      <c r="B2" s="40" t="s">
        <v>1</v>
      </c>
    </row>
    <row r="3" customHeight="1" spans="1:5">
      <c r="A3" s="39" t="s">
        <v>2</v>
      </c>
      <c r="B3" s="40" t="s">
        <v>3</v>
      </c>
    </row>
    <row r="4" customHeight="1" spans="1:5">
      <c r="A4" s="39" t="s">
        <v>4</v>
      </c>
      <c r="B4" s="40" t="s">
        <v>5</v>
      </c>
    </row>
    <row r="5" customHeight="1" spans="1:5">
      <c r="A5" s="39" t="s">
        <v>6</v>
      </c>
      <c r="B5" s="40" t="s">
        <v>7</v>
      </c>
    </row>
    <row r="6" customHeight="1" spans="1:5">
      <c r="A6" s="39" t="s">
        <v>8</v>
      </c>
      <c r="B6" s="41">
        <v>45078</v>
      </c>
    </row>
    <row r="7" customHeight="1" spans="1:5">
      <c r="A7" s="39" t="s">
        <v>9</v>
      </c>
      <c r="B7" s="40" t="s">
        <v>10</v>
      </c>
    </row>
    <row r="8" ht="15.4" spans="1:5">
      <c r="A8" s="39" t="s">
        <v>11</v>
      </c>
      <c r="B8" s="42" t="s">
        <v>12</v>
      </c>
    </row>
    <row r="9" s="36" customFormat="1" customHeight="1" spans="1:5">
      <c r="A9" s="38"/>
      <c r="B9" s="38"/>
      <c r="C9" s="38"/>
      <c r="D9" s="38"/>
      <c r="E9" s="38"/>
    </row>
    <row r="12" s="36" customFormat="1" customHeight="1" spans="1:5">
      <c r="A12" s="38"/>
      <c r="B12" s="38"/>
      <c r="C12" s="38"/>
      <c r="D12" s="38"/>
      <c r="E12" s="38"/>
    </row>
    <row r="13" s="36" customFormat="1" customHeight="1"/>
    <row r="14" s="36" customFormat="1" customHeight="1"/>
    <row r="20" s="36" customFormat="1" customHeight="1"/>
    <row r="21" s="36" customFormat="1" customHeight="1"/>
    <row r="22" s="36" customFormat="1" customHeight="1"/>
    <row r="23" s="37" customFormat="1" customHeight="1"/>
    <row r="25" s="36" customFormat="1" customHeight="1"/>
    <row r="26" s="36" customFormat="1" customHeight="1"/>
    <row r="27" s="36" customFormat="1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S47"/>
  <sheetViews>
    <sheetView tabSelected="1" zoomScale="70" zoomScaleNormal="70" workbookViewId="0">
      <pane xSplit="2" ySplit="1" topLeftCell="E2" activePane="bottomRight" state="frozen"/>
      <selection/>
      <selection pane="topRight"/>
      <selection pane="bottomLeft"/>
      <selection pane="bottomRight" activeCell="H14" sqref="H14"/>
    </sheetView>
  </sheetViews>
  <sheetFormatPr defaultColWidth="9" defaultRowHeight="18" customHeight="1"/>
  <cols>
    <col min="1" max="1" width="6.66371681415929" style="1" customWidth="1"/>
    <col min="2" max="2" width="34.5044247787611" style="1" customWidth="1"/>
    <col min="3" max="3" width="43.1681415929204" style="1" customWidth="1"/>
    <col min="4" max="4" width="54" style="1" customWidth="1"/>
    <col min="5" max="5" width="50.3362831858407" style="1" customWidth="1"/>
    <col min="6" max="6" width="30" style="1" customWidth="1"/>
    <col min="7" max="7" width="9" style="1"/>
    <col min="8" max="8" width="55.3362831858407" style="1" customWidth="1"/>
    <col min="9" max="9" width="9" style="1"/>
    <col min="10" max="10" width="30" style="1" customWidth="1"/>
    <col min="11" max="11" width="9" style="1"/>
    <col min="12" max="12" width="58.5044247787611" style="1" customWidth="1"/>
    <col min="13" max="14" width="9" style="1"/>
    <col min="15" max="15" width="59" style="1" customWidth="1"/>
    <col min="16" max="17" width="9" style="1"/>
    <col min="18" max="18" width="27.1681415929204" style="22" customWidth="1"/>
    <col min="19" max="19" width="15.1681415929204" style="22" customWidth="1"/>
    <col min="20" max="16384" width="9" style="1"/>
  </cols>
  <sheetData>
    <row r="1" s="6" customFormat="1" customHeight="1" spans="1:19">
      <c r="A1" s="24" t="s">
        <v>13</v>
      </c>
      <c r="B1" s="24" t="s">
        <v>14</v>
      </c>
      <c r="C1" s="24" t="s">
        <v>15</v>
      </c>
      <c r="D1" s="24" t="s">
        <v>16</v>
      </c>
      <c r="E1" s="24" t="s">
        <v>17</v>
      </c>
      <c r="F1" s="24" t="s">
        <v>18</v>
      </c>
      <c r="G1" s="24" t="s">
        <v>19</v>
      </c>
      <c r="H1" s="24" t="s">
        <v>20</v>
      </c>
      <c r="I1" s="24" t="s">
        <v>21</v>
      </c>
      <c r="J1" s="24" t="s">
        <v>22</v>
      </c>
      <c r="K1" s="24" t="s">
        <v>19</v>
      </c>
      <c r="L1" s="24" t="s">
        <v>23</v>
      </c>
      <c r="M1" s="24" t="s">
        <v>24</v>
      </c>
      <c r="N1" s="24" t="s">
        <v>19</v>
      </c>
      <c r="O1" s="24" t="s">
        <v>25</v>
      </c>
      <c r="P1" s="24" t="s">
        <v>26</v>
      </c>
      <c r="Q1" s="24" t="s">
        <v>19</v>
      </c>
      <c r="R1" s="24" t="s">
        <v>27</v>
      </c>
      <c r="S1" s="24" t="s">
        <v>28</v>
      </c>
    </row>
    <row r="2" s="6" customFormat="1" ht="19" customHeight="1" spans="1:19">
      <c r="A2" s="24" t="s">
        <v>29</v>
      </c>
      <c r="B2" s="24"/>
      <c r="C2" s="25" t="s">
        <v>30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4"/>
      <c r="S2" s="24"/>
    </row>
    <row r="3" s="6" customFormat="1" customHeight="1" spans="1:19">
      <c r="A3" s="21" t="s">
        <v>31</v>
      </c>
      <c r="B3" s="7" t="s">
        <v>32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6"/>
      <c r="S3" s="26"/>
    </row>
    <row r="4" s="21" customFormat="1" ht="19" customHeight="1" spans="1:19">
      <c r="A4" s="21">
        <v>1</v>
      </c>
      <c r="B4" s="21" t="s">
        <v>33</v>
      </c>
      <c r="F4" s="27" t="s">
        <v>34</v>
      </c>
      <c r="J4" s="27" t="s">
        <v>35</v>
      </c>
      <c r="R4" s="28"/>
      <c r="S4" s="28"/>
    </row>
    <row r="5" s="22" customFormat="1" ht="17.25" customHeight="1" spans="1:19">
      <c r="A5" s="29">
        <v>1.1</v>
      </c>
      <c r="B5" s="22" t="s">
        <v>36</v>
      </c>
      <c r="C5" s="30">
        <v>15000000</v>
      </c>
      <c r="D5" s="31">
        <f>C5*0.15</f>
        <v>2250000</v>
      </c>
      <c r="E5" s="32">
        <v>2500000</v>
      </c>
      <c r="F5" s="21"/>
      <c r="G5" s="22" t="s">
        <v>37</v>
      </c>
      <c r="H5" s="31">
        <f>C5*0.25</f>
        <v>3750000</v>
      </c>
      <c r="I5" s="22" t="s">
        <v>37</v>
      </c>
      <c r="J5" s="21"/>
      <c r="K5" s="22" t="s">
        <v>37</v>
      </c>
      <c r="L5" s="31">
        <f>C5*0.4</f>
        <v>6000000</v>
      </c>
      <c r="M5" s="22" t="s">
        <v>37</v>
      </c>
      <c r="N5" s="22" t="s">
        <v>37</v>
      </c>
      <c r="O5" s="31">
        <f t="shared" ref="O5:O8" si="0">C5*0.2</f>
        <v>3000000</v>
      </c>
      <c r="P5" s="22" t="s">
        <v>37</v>
      </c>
      <c r="Q5" s="22" t="s">
        <v>37</v>
      </c>
      <c r="R5" s="28" t="s">
        <v>38</v>
      </c>
      <c r="S5" s="28" t="s">
        <v>39</v>
      </c>
    </row>
    <row r="6" s="22" customFormat="1" ht="17.25" customHeight="1" spans="1:19">
      <c r="A6" s="29">
        <v>1.2</v>
      </c>
      <c r="B6" s="22" t="s">
        <v>40</v>
      </c>
      <c r="C6" s="33">
        <v>0</v>
      </c>
      <c r="D6" s="30">
        <f t="shared" ref="D6:D9" si="1">C6*0.2</f>
        <v>0</v>
      </c>
      <c r="E6" s="22" t="s">
        <v>37</v>
      </c>
      <c r="F6" s="21"/>
      <c r="G6" s="22" t="s">
        <v>37</v>
      </c>
      <c r="H6" s="34">
        <f t="shared" ref="H6:H8" si="2">C6*0.3</f>
        <v>0</v>
      </c>
      <c r="I6" s="22" t="s">
        <v>37</v>
      </c>
      <c r="J6" s="21"/>
      <c r="K6" s="22" t="s">
        <v>37</v>
      </c>
      <c r="L6" s="31">
        <f t="shared" ref="L6:L8" si="3">C6*0.3</f>
        <v>0</v>
      </c>
      <c r="M6" s="22" t="s">
        <v>37</v>
      </c>
      <c r="N6" s="22" t="s">
        <v>37</v>
      </c>
      <c r="O6" s="31">
        <f t="shared" si="0"/>
        <v>0</v>
      </c>
      <c r="P6" s="22" t="s">
        <v>37</v>
      </c>
      <c r="Q6" s="22" t="s">
        <v>37</v>
      </c>
      <c r="R6" s="28" t="s">
        <v>38</v>
      </c>
      <c r="S6" s="28" t="s">
        <v>39</v>
      </c>
    </row>
    <row r="7" s="22" customFormat="1" customHeight="1" spans="1:19">
      <c r="A7" s="29">
        <v>1.3</v>
      </c>
      <c r="B7" s="22" t="s">
        <v>41</v>
      </c>
      <c r="C7" s="33">
        <v>0</v>
      </c>
      <c r="D7" s="30">
        <f t="shared" si="1"/>
        <v>0</v>
      </c>
      <c r="E7" s="22" t="s">
        <v>37</v>
      </c>
      <c r="F7" s="21"/>
      <c r="G7" s="22" t="s">
        <v>37</v>
      </c>
      <c r="H7" s="34">
        <f t="shared" si="2"/>
        <v>0</v>
      </c>
      <c r="I7" s="22" t="s">
        <v>37</v>
      </c>
      <c r="J7" s="21"/>
      <c r="K7" s="22" t="s">
        <v>37</v>
      </c>
      <c r="L7" s="31">
        <f t="shared" si="3"/>
        <v>0</v>
      </c>
      <c r="M7" s="22" t="s">
        <v>37</v>
      </c>
      <c r="N7" s="22" t="s">
        <v>37</v>
      </c>
      <c r="O7" s="31">
        <f t="shared" si="0"/>
        <v>0</v>
      </c>
      <c r="P7" s="22" t="s">
        <v>37</v>
      </c>
      <c r="Q7" s="22" t="s">
        <v>37</v>
      </c>
      <c r="R7" s="28" t="s">
        <v>38</v>
      </c>
      <c r="S7" s="28" t="s">
        <v>39</v>
      </c>
    </row>
    <row r="8" s="22" customFormat="1" customHeight="1" spans="1:19">
      <c r="A8" s="29">
        <v>1.4</v>
      </c>
      <c r="B8" s="22" t="s">
        <v>42</v>
      </c>
      <c r="C8" s="33">
        <v>0</v>
      </c>
      <c r="D8" s="30">
        <f t="shared" si="1"/>
        <v>0</v>
      </c>
      <c r="E8" s="22" t="s">
        <v>37</v>
      </c>
      <c r="F8" s="21"/>
      <c r="G8" s="22" t="s">
        <v>37</v>
      </c>
      <c r="H8" s="34">
        <f t="shared" si="2"/>
        <v>0</v>
      </c>
      <c r="I8" s="22" t="s">
        <v>37</v>
      </c>
      <c r="J8" s="21"/>
      <c r="K8" s="22" t="s">
        <v>37</v>
      </c>
      <c r="L8" s="31">
        <f t="shared" si="3"/>
        <v>0</v>
      </c>
      <c r="M8" s="22" t="s">
        <v>37</v>
      </c>
      <c r="N8" s="22" t="s">
        <v>37</v>
      </c>
      <c r="O8" s="31">
        <f t="shared" si="0"/>
        <v>0</v>
      </c>
      <c r="P8" s="22" t="s">
        <v>37</v>
      </c>
      <c r="Q8" s="22" t="s">
        <v>37</v>
      </c>
      <c r="R8" s="28" t="s">
        <v>38</v>
      </c>
      <c r="S8" s="28" t="s">
        <v>39</v>
      </c>
    </row>
    <row r="9" s="22" customFormat="1" customHeight="1" spans="1:19">
      <c r="A9" s="29">
        <v>1.5</v>
      </c>
      <c r="B9" s="22" t="s">
        <v>43</v>
      </c>
      <c r="C9" s="30">
        <v>1250000</v>
      </c>
      <c r="D9" s="31">
        <f>D5/12</f>
        <v>187500</v>
      </c>
      <c r="E9" s="32">
        <f>E5/12</f>
        <v>208333.333333333</v>
      </c>
      <c r="F9" s="21"/>
      <c r="G9" s="22" t="s">
        <v>37</v>
      </c>
      <c r="H9" s="34">
        <f>(D5+H5)/12</f>
        <v>500000</v>
      </c>
      <c r="I9" s="22" t="s">
        <v>37</v>
      </c>
      <c r="J9" s="21"/>
      <c r="K9" s="22" t="s">
        <v>37</v>
      </c>
      <c r="L9" s="31">
        <f>(D5+H5+L5)/12</f>
        <v>1000000</v>
      </c>
      <c r="M9" s="22" t="s">
        <v>37</v>
      </c>
      <c r="N9" s="22" t="s">
        <v>37</v>
      </c>
      <c r="O9" s="31">
        <f>(D5+H5+L5+O5)/12</f>
        <v>1250000</v>
      </c>
      <c r="P9" s="22" t="s">
        <v>37</v>
      </c>
      <c r="Q9" s="22" t="s">
        <v>37</v>
      </c>
      <c r="R9" s="28" t="s">
        <v>38</v>
      </c>
      <c r="S9" s="28" t="s">
        <v>39</v>
      </c>
    </row>
    <row r="10" s="22" customFormat="1" ht="49.5" customHeight="1" spans="1:19">
      <c r="A10" s="21">
        <v>2</v>
      </c>
      <c r="B10" s="21" t="s">
        <v>44</v>
      </c>
      <c r="F10" s="21"/>
      <c r="G10" s="22" t="s">
        <v>37</v>
      </c>
      <c r="I10" s="22" t="s">
        <v>37</v>
      </c>
      <c r="J10" s="21"/>
      <c r="K10" s="22" t="s">
        <v>37</v>
      </c>
      <c r="R10" s="28"/>
      <c r="S10" s="28"/>
    </row>
    <row r="11" s="22" customFormat="1" ht="23.75" customHeight="1" spans="1:19">
      <c r="A11" s="29">
        <v>2.1</v>
      </c>
      <c r="B11" s="22" t="s">
        <v>45</v>
      </c>
      <c r="C11" s="35" t="s">
        <v>46</v>
      </c>
      <c r="D11" s="22" t="s">
        <v>47</v>
      </c>
      <c r="E11" s="35">
        <v>0</v>
      </c>
      <c r="F11" s="21"/>
      <c r="G11" s="22" t="s">
        <v>37</v>
      </c>
      <c r="H11" s="22" t="s">
        <v>47</v>
      </c>
      <c r="I11" s="35">
        <v>0</v>
      </c>
      <c r="J11" s="21"/>
      <c r="K11" s="22" t="s">
        <v>37</v>
      </c>
      <c r="L11" s="22" t="s">
        <v>47</v>
      </c>
      <c r="M11" s="22" t="s">
        <v>37</v>
      </c>
      <c r="P11" s="22" t="s">
        <v>37</v>
      </c>
      <c r="R11" s="28" t="s">
        <v>1</v>
      </c>
      <c r="S11" s="28" t="s">
        <v>48</v>
      </c>
    </row>
    <row r="12" s="22" customFormat="1" ht="28" customHeight="1" spans="1:19">
      <c r="A12" s="29">
        <v>2.2</v>
      </c>
      <c r="B12" s="22" t="s">
        <v>49</v>
      </c>
      <c r="C12" s="35" t="s">
        <v>50</v>
      </c>
      <c r="D12" s="35" t="s">
        <v>51</v>
      </c>
      <c r="E12" s="22" t="s">
        <v>52</v>
      </c>
      <c r="F12" s="21"/>
      <c r="G12" s="22" t="s">
        <v>37</v>
      </c>
      <c r="H12" s="35" t="s">
        <v>53</v>
      </c>
      <c r="I12" s="22" t="s">
        <v>52</v>
      </c>
      <c r="J12" s="21"/>
      <c r="K12" s="22" t="s">
        <v>37</v>
      </c>
      <c r="L12" s="35" t="s">
        <v>51</v>
      </c>
      <c r="M12" s="22" t="s">
        <v>37</v>
      </c>
      <c r="P12" s="22" t="s">
        <v>37</v>
      </c>
      <c r="R12" s="28" t="s">
        <v>1</v>
      </c>
      <c r="S12" s="28" t="s">
        <v>48</v>
      </c>
    </row>
    <row r="13" s="22" customFormat="1" ht="26.25" customHeight="1" spans="1:19">
      <c r="A13" s="29">
        <v>2.3</v>
      </c>
      <c r="B13" s="22" t="s">
        <v>54</v>
      </c>
      <c r="C13" s="35" t="s">
        <v>55</v>
      </c>
      <c r="D13" s="35" t="s">
        <v>55</v>
      </c>
      <c r="E13" s="22" t="s">
        <v>56</v>
      </c>
      <c r="F13" s="21"/>
      <c r="G13" s="22" t="s">
        <v>37</v>
      </c>
      <c r="H13" s="35" t="s">
        <v>55</v>
      </c>
      <c r="I13" s="22" t="s">
        <v>56</v>
      </c>
      <c r="J13" s="21"/>
      <c r="K13" s="22" t="s">
        <v>37</v>
      </c>
      <c r="L13" s="35" t="s">
        <v>55</v>
      </c>
      <c r="M13" s="22" t="s">
        <v>37</v>
      </c>
      <c r="P13" s="22" t="s">
        <v>37</v>
      </c>
      <c r="R13" s="28" t="s">
        <v>1</v>
      </c>
      <c r="S13" s="28" t="s">
        <v>48</v>
      </c>
    </row>
    <row r="14" s="22" customFormat="1" ht="36.5" customHeight="1" spans="1:19">
      <c r="A14" s="21">
        <v>3</v>
      </c>
      <c r="B14" s="21" t="s">
        <v>57</v>
      </c>
      <c r="F14" s="21"/>
      <c r="G14" s="22" t="s">
        <v>37</v>
      </c>
      <c r="J14" s="21"/>
      <c r="K14" s="22" t="s">
        <v>37</v>
      </c>
      <c r="M14" s="22" t="s">
        <v>37</v>
      </c>
      <c r="P14" s="22" t="s">
        <v>37</v>
      </c>
      <c r="R14" s="28"/>
      <c r="S14" s="28"/>
    </row>
    <row r="15" s="22" customFormat="1" customHeight="1" spans="1:19">
      <c r="A15" s="29">
        <v>3.1</v>
      </c>
      <c r="B15" s="22" t="s">
        <v>58</v>
      </c>
      <c r="C15" s="22" t="s">
        <v>59</v>
      </c>
      <c r="D15" s="22" t="str">
        <f>C15</f>
        <v>100%保质保量完成月度最低任务数15个</v>
      </c>
      <c r="E15" s="22" t="s">
        <v>60</v>
      </c>
      <c r="F15" s="21"/>
      <c r="G15" s="22" t="s">
        <v>37</v>
      </c>
      <c r="H15" s="22" t="str">
        <f>C15</f>
        <v>100%保质保量完成月度最低任务数15个</v>
      </c>
      <c r="I15" s="22" t="s">
        <v>60</v>
      </c>
      <c r="J15" s="21"/>
      <c r="K15" s="22" t="s">
        <v>37</v>
      </c>
      <c r="L15" s="22" t="str">
        <f>C15</f>
        <v>100%保质保量完成月度最低任务数15个</v>
      </c>
      <c r="M15" s="22" t="s">
        <v>37</v>
      </c>
      <c r="N15" s="22" t="s">
        <v>37</v>
      </c>
      <c r="O15" s="22" t="str">
        <f>C15</f>
        <v>100%保质保量完成月度最低任务数15个</v>
      </c>
      <c r="P15" s="22" t="s">
        <v>37</v>
      </c>
      <c r="Q15" s="22" t="s">
        <v>37</v>
      </c>
      <c r="R15" s="28" t="s">
        <v>1</v>
      </c>
      <c r="S15" s="28" t="s">
        <v>48</v>
      </c>
    </row>
    <row r="16" s="22" customFormat="1" customHeight="1" spans="1:19">
      <c r="A16" s="29">
        <v>3.2</v>
      </c>
      <c r="B16" s="22" t="s">
        <v>61</v>
      </c>
      <c r="C16" s="22" t="s">
        <v>62</v>
      </c>
      <c r="D16" s="22" t="str">
        <f t="shared" ref="D16" si="4">C16</f>
        <v>工作饱和度最低110%（依据月度工时总数累计考核）</v>
      </c>
      <c r="E16" s="22" t="s">
        <v>60</v>
      </c>
      <c r="F16" s="21"/>
      <c r="G16" s="22" t="s">
        <v>37</v>
      </c>
      <c r="H16" s="22" t="str">
        <f t="shared" ref="H16:H17" si="5">C16</f>
        <v>工作饱和度最低110%（依据月度工时总数累计考核）</v>
      </c>
      <c r="I16" s="22" t="s">
        <v>60</v>
      </c>
      <c r="J16" s="21"/>
      <c r="K16" s="22" t="s">
        <v>37</v>
      </c>
      <c r="L16" s="22" t="str">
        <f t="shared" ref="L16:L17" si="6">C16</f>
        <v>工作饱和度最低110%（依据月度工时总数累计考核）</v>
      </c>
      <c r="M16" s="22" t="s">
        <v>37</v>
      </c>
      <c r="N16" s="22" t="s">
        <v>37</v>
      </c>
      <c r="O16" s="22" t="str">
        <f t="shared" ref="O16:O17" si="7">C16</f>
        <v>工作饱和度最低110%（依据月度工时总数累计考核）</v>
      </c>
      <c r="P16" s="22" t="s">
        <v>37</v>
      </c>
      <c r="Q16" s="22" t="s">
        <v>37</v>
      </c>
      <c r="R16" s="28" t="s">
        <v>1</v>
      </c>
      <c r="S16" s="28" t="s">
        <v>48</v>
      </c>
    </row>
    <row r="17" s="22" customFormat="1" customHeight="1" spans="1:19">
      <c r="A17" s="29">
        <v>3.3</v>
      </c>
      <c r="B17" s="22" t="s">
        <v>63</v>
      </c>
      <c r="C17" s="22" t="s">
        <v>64</v>
      </c>
      <c r="D17" s="22" t="s">
        <v>64</v>
      </c>
      <c r="E17" s="22" t="s">
        <v>60</v>
      </c>
      <c r="F17" s="21"/>
      <c r="G17" s="22" t="s">
        <v>37</v>
      </c>
      <c r="H17" s="22" t="str">
        <f t="shared" si="5"/>
        <v>小于3个/每次迭代</v>
      </c>
      <c r="I17" s="22" t="s">
        <v>60</v>
      </c>
      <c r="J17" s="21"/>
      <c r="K17" s="22" t="s">
        <v>37</v>
      </c>
      <c r="L17" s="22" t="str">
        <f t="shared" si="6"/>
        <v>小于3个/每次迭代</v>
      </c>
      <c r="M17" s="22" t="s">
        <v>37</v>
      </c>
      <c r="N17" s="22" t="s">
        <v>37</v>
      </c>
      <c r="O17" s="22" t="str">
        <f t="shared" si="7"/>
        <v>小于3个/每次迭代</v>
      </c>
      <c r="P17" s="22" t="s">
        <v>37</v>
      </c>
      <c r="Q17" s="22" t="s">
        <v>37</v>
      </c>
      <c r="R17" s="28" t="s">
        <v>1</v>
      </c>
      <c r="S17" s="28" t="s">
        <v>48</v>
      </c>
    </row>
    <row r="18" s="6" customFormat="1" customHeight="1" spans="1:19">
      <c r="A18" s="21" t="s">
        <v>65</v>
      </c>
      <c r="B18" s="21" t="s">
        <v>66</v>
      </c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2"/>
      <c r="O18" s="21"/>
      <c r="P18" s="22"/>
      <c r="Q18" s="22"/>
      <c r="R18" s="24"/>
      <c r="S18" s="24"/>
    </row>
    <row r="19" s="6" customFormat="1" customHeight="1" spans="1:19">
      <c r="A19" s="21">
        <v>1</v>
      </c>
      <c r="B19" s="21" t="s">
        <v>67</v>
      </c>
      <c r="C19" s="22"/>
      <c r="D19" s="21"/>
      <c r="E19" s="22"/>
      <c r="F19" s="35"/>
      <c r="G19" s="22"/>
      <c r="H19" s="21"/>
      <c r="I19" s="22"/>
      <c r="J19" s="35"/>
      <c r="K19" s="22"/>
      <c r="L19" s="21"/>
      <c r="M19" s="22"/>
      <c r="N19" s="22"/>
      <c r="O19" s="21"/>
      <c r="P19" s="22"/>
      <c r="Q19" s="22"/>
      <c r="R19" s="24"/>
      <c r="S19" s="28"/>
    </row>
    <row r="20" customHeight="1" spans="1:19">
      <c r="A20" s="29">
        <v>1.1</v>
      </c>
      <c r="B20" s="22" t="s">
        <v>68</v>
      </c>
      <c r="C20" s="21">
        <v>1</v>
      </c>
      <c r="D20" s="21" t="s">
        <v>69</v>
      </c>
      <c r="E20" s="21" t="s">
        <v>69</v>
      </c>
      <c r="F20" s="35"/>
      <c r="G20" s="21" t="s">
        <v>69</v>
      </c>
      <c r="H20" s="21">
        <v>1</v>
      </c>
      <c r="I20" s="22" t="s">
        <v>37</v>
      </c>
      <c r="J20" s="35"/>
      <c r="K20" s="22" t="s">
        <v>70</v>
      </c>
      <c r="L20" s="22" t="s">
        <v>70</v>
      </c>
      <c r="M20" s="22" t="s">
        <v>37</v>
      </c>
      <c r="N20" s="22" t="s">
        <v>70</v>
      </c>
      <c r="O20" s="22" t="s">
        <v>70</v>
      </c>
      <c r="P20" s="22" t="s">
        <v>37</v>
      </c>
      <c r="Q20" s="22" t="s">
        <v>70</v>
      </c>
      <c r="R20" s="28"/>
      <c r="S20" s="28" t="s">
        <v>39</v>
      </c>
    </row>
    <row r="21" customHeight="1" spans="1:19">
      <c r="A21" s="29">
        <v>1.2</v>
      </c>
      <c r="B21" s="22" t="s">
        <v>71</v>
      </c>
      <c r="C21" s="21" t="s">
        <v>69</v>
      </c>
      <c r="D21" s="21" t="s">
        <v>69</v>
      </c>
      <c r="E21" s="21" t="s">
        <v>69</v>
      </c>
      <c r="F21" s="22"/>
      <c r="G21" s="21" t="s">
        <v>69</v>
      </c>
      <c r="H21" s="21" t="s">
        <v>69</v>
      </c>
      <c r="I21" s="22" t="s">
        <v>37</v>
      </c>
      <c r="J21" s="22"/>
      <c r="K21" s="22" t="s">
        <v>70</v>
      </c>
      <c r="L21" s="22" t="s">
        <v>70</v>
      </c>
      <c r="M21" s="22" t="s">
        <v>37</v>
      </c>
      <c r="N21" s="22" t="s">
        <v>70</v>
      </c>
      <c r="O21" s="22" t="s">
        <v>70</v>
      </c>
      <c r="P21" s="22" t="s">
        <v>37</v>
      </c>
      <c r="Q21" s="22" t="s">
        <v>70</v>
      </c>
      <c r="R21" s="28"/>
      <c r="S21" s="28" t="s">
        <v>39</v>
      </c>
    </row>
    <row r="22" s="6" customFormat="1" customHeight="1" spans="1:19">
      <c r="A22" s="21">
        <v>2</v>
      </c>
      <c r="B22" s="21" t="s">
        <v>72</v>
      </c>
      <c r="C22" s="22"/>
      <c r="D22" s="21"/>
      <c r="E22" s="21"/>
      <c r="F22" s="22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8"/>
      <c r="S22" s="28"/>
    </row>
    <row r="23" customHeight="1" spans="1:19">
      <c r="A23" s="29">
        <v>2.1</v>
      </c>
      <c r="B23" s="22" t="s">
        <v>68</v>
      </c>
      <c r="C23" s="21">
        <v>1</v>
      </c>
      <c r="D23" s="21" t="s">
        <v>69</v>
      </c>
      <c r="E23" s="21" t="s">
        <v>69</v>
      </c>
      <c r="F23" s="22"/>
      <c r="G23" s="21" t="s">
        <v>69</v>
      </c>
      <c r="H23" s="21" t="s">
        <v>69</v>
      </c>
      <c r="I23" s="22" t="s">
        <v>37</v>
      </c>
      <c r="J23" s="22"/>
      <c r="K23" s="22" t="s">
        <v>70</v>
      </c>
      <c r="L23" s="22" t="s">
        <v>70</v>
      </c>
      <c r="M23" s="22" t="s">
        <v>37</v>
      </c>
      <c r="N23" s="22" t="s">
        <v>70</v>
      </c>
      <c r="O23" s="22">
        <v>1</v>
      </c>
      <c r="P23" s="22" t="s">
        <v>37</v>
      </c>
      <c r="Q23" s="22" t="s">
        <v>70</v>
      </c>
      <c r="R23" s="28"/>
      <c r="S23" s="28" t="s">
        <v>39</v>
      </c>
    </row>
    <row r="24" customHeight="1" spans="1:19">
      <c r="A24" s="29">
        <v>2.2</v>
      </c>
      <c r="B24" s="22" t="s">
        <v>71</v>
      </c>
      <c r="C24" s="21" t="s">
        <v>69</v>
      </c>
      <c r="D24" s="21" t="s">
        <v>69</v>
      </c>
      <c r="E24" s="21" t="s">
        <v>69</v>
      </c>
      <c r="F24" s="22"/>
      <c r="G24" s="21" t="s">
        <v>69</v>
      </c>
      <c r="H24" s="21" t="s">
        <v>69</v>
      </c>
      <c r="I24" s="22" t="s">
        <v>37</v>
      </c>
      <c r="J24" s="22"/>
      <c r="K24" s="22" t="s">
        <v>70</v>
      </c>
      <c r="L24" s="22" t="s">
        <v>70</v>
      </c>
      <c r="M24" s="22" t="s">
        <v>37</v>
      </c>
      <c r="N24" s="22" t="s">
        <v>70</v>
      </c>
      <c r="O24" s="22" t="s">
        <v>70</v>
      </c>
      <c r="P24" s="22" t="s">
        <v>37</v>
      </c>
      <c r="Q24" s="22" t="s">
        <v>70</v>
      </c>
      <c r="R24" s="28"/>
      <c r="S24" s="28" t="s">
        <v>39</v>
      </c>
    </row>
    <row r="25" s="6" customFormat="1" customHeight="1" spans="1:19">
      <c r="A25" s="21">
        <v>3</v>
      </c>
      <c r="B25" s="21" t="s">
        <v>73</v>
      </c>
      <c r="C25" s="22"/>
      <c r="D25" s="21"/>
      <c r="E25" s="22"/>
      <c r="F25" s="22"/>
      <c r="G25" s="22"/>
      <c r="H25" s="21"/>
      <c r="I25" s="22"/>
      <c r="J25" s="22"/>
      <c r="K25" s="22"/>
      <c r="L25" s="21"/>
      <c r="M25" s="22"/>
      <c r="N25" s="22"/>
      <c r="O25" s="21"/>
      <c r="P25" s="22"/>
      <c r="Q25" s="22"/>
      <c r="R25" s="28"/>
      <c r="S25" s="24"/>
    </row>
    <row r="26" customHeight="1" spans="1:19">
      <c r="A26" s="29">
        <v>3.1</v>
      </c>
      <c r="B26" s="22" t="s">
        <v>74</v>
      </c>
      <c r="C26" s="22" t="s">
        <v>75</v>
      </c>
      <c r="D26" s="22" t="s">
        <v>75</v>
      </c>
      <c r="E26" s="22" t="s">
        <v>76</v>
      </c>
      <c r="F26" s="22"/>
      <c r="G26" s="22" t="s">
        <v>70</v>
      </c>
      <c r="H26" s="22" t="s">
        <v>75</v>
      </c>
      <c r="I26" s="22" t="s">
        <v>37</v>
      </c>
      <c r="J26" s="22"/>
      <c r="K26" s="22" t="s">
        <v>70</v>
      </c>
      <c r="L26" s="22" t="s">
        <v>75</v>
      </c>
      <c r="M26" s="22" t="s">
        <v>37</v>
      </c>
      <c r="N26" s="22" t="s">
        <v>70</v>
      </c>
      <c r="O26" s="22" t="s">
        <v>75</v>
      </c>
      <c r="P26" s="22" t="s">
        <v>37</v>
      </c>
      <c r="Q26" s="22" t="s">
        <v>70</v>
      </c>
      <c r="R26" s="28" t="s">
        <v>1</v>
      </c>
      <c r="S26" s="28" t="s">
        <v>48</v>
      </c>
    </row>
    <row r="27" customHeight="1" spans="1:19">
      <c r="A27" s="29">
        <v>3.2</v>
      </c>
      <c r="B27" s="22" t="s">
        <v>77</v>
      </c>
      <c r="C27" s="22" t="s">
        <v>75</v>
      </c>
      <c r="D27" s="22" t="s">
        <v>75</v>
      </c>
      <c r="E27" s="22" t="s">
        <v>76</v>
      </c>
      <c r="F27" s="22"/>
      <c r="G27" s="22" t="s">
        <v>70</v>
      </c>
      <c r="H27" s="22" t="s">
        <v>75</v>
      </c>
      <c r="I27" s="22" t="s">
        <v>37</v>
      </c>
      <c r="J27" s="22"/>
      <c r="K27" s="22" t="s">
        <v>70</v>
      </c>
      <c r="L27" s="22" t="s">
        <v>75</v>
      </c>
      <c r="M27" s="22" t="s">
        <v>37</v>
      </c>
      <c r="N27" s="22" t="s">
        <v>70</v>
      </c>
      <c r="O27" s="22" t="s">
        <v>75</v>
      </c>
      <c r="P27" s="22" t="s">
        <v>37</v>
      </c>
      <c r="Q27" s="22" t="s">
        <v>70</v>
      </c>
      <c r="R27" s="28" t="s">
        <v>1</v>
      </c>
      <c r="S27" s="28" t="s">
        <v>48</v>
      </c>
    </row>
    <row r="28" customHeight="1" spans="1:19">
      <c r="A28" s="29">
        <v>3.3</v>
      </c>
      <c r="B28" s="22" t="s">
        <v>78</v>
      </c>
      <c r="C28" s="22" t="s">
        <v>75</v>
      </c>
      <c r="D28" s="22" t="s">
        <v>75</v>
      </c>
      <c r="E28" s="22" t="s">
        <v>76</v>
      </c>
      <c r="F28" s="22"/>
      <c r="G28" s="22" t="s">
        <v>70</v>
      </c>
      <c r="H28" s="22" t="s">
        <v>75</v>
      </c>
      <c r="I28" s="22" t="s">
        <v>37</v>
      </c>
      <c r="J28" s="22"/>
      <c r="K28" s="22" t="s">
        <v>70</v>
      </c>
      <c r="L28" s="22" t="s">
        <v>75</v>
      </c>
      <c r="M28" s="22" t="s">
        <v>37</v>
      </c>
      <c r="N28" s="22" t="s">
        <v>70</v>
      </c>
      <c r="O28" s="22" t="s">
        <v>75</v>
      </c>
      <c r="P28" s="22" t="s">
        <v>37</v>
      </c>
      <c r="Q28" s="22" t="s">
        <v>70</v>
      </c>
      <c r="R28" s="28" t="s">
        <v>1</v>
      </c>
      <c r="S28" s="28" t="s">
        <v>48</v>
      </c>
    </row>
    <row r="29" customHeight="1" spans="1:19">
      <c r="A29" s="29">
        <v>3.4</v>
      </c>
      <c r="B29" s="22" t="s">
        <v>79</v>
      </c>
      <c r="C29" s="22" t="s">
        <v>75</v>
      </c>
      <c r="D29" s="22" t="s">
        <v>75</v>
      </c>
      <c r="E29" s="22" t="s">
        <v>76</v>
      </c>
      <c r="F29" s="22"/>
      <c r="G29" s="22" t="s">
        <v>70</v>
      </c>
      <c r="H29" s="22" t="s">
        <v>75</v>
      </c>
      <c r="I29" s="22" t="s">
        <v>37</v>
      </c>
      <c r="J29" s="22"/>
      <c r="K29" s="22" t="s">
        <v>70</v>
      </c>
      <c r="L29" s="22" t="s">
        <v>75</v>
      </c>
      <c r="M29" s="22" t="s">
        <v>37</v>
      </c>
      <c r="N29" s="22" t="s">
        <v>70</v>
      </c>
      <c r="O29" s="22" t="s">
        <v>75</v>
      </c>
      <c r="P29" s="22" t="s">
        <v>37</v>
      </c>
      <c r="Q29" s="22" t="s">
        <v>70</v>
      </c>
      <c r="R29" s="28" t="s">
        <v>1</v>
      </c>
      <c r="S29" s="28" t="s">
        <v>48</v>
      </c>
    </row>
    <row r="30" customHeight="1" spans="1:19">
      <c r="A30" s="29">
        <v>3.5</v>
      </c>
      <c r="B30" s="22" t="s">
        <v>80</v>
      </c>
      <c r="C30" s="22" t="s">
        <v>75</v>
      </c>
      <c r="D30" s="22" t="s">
        <v>75</v>
      </c>
      <c r="E30" s="22" t="s">
        <v>76</v>
      </c>
      <c r="F30" s="22"/>
      <c r="G30" s="22" t="s">
        <v>70</v>
      </c>
      <c r="H30" s="22" t="s">
        <v>75</v>
      </c>
      <c r="I30" s="22" t="s">
        <v>37</v>
      </c>
      <c r="J30" s="22"/>
      <c r="K30" s="22" t="s">
        <v>70</v>
      </c>
      <c r="L30" s="22" t="s">
        <v>75</v>
      </c>
      <c r="M30" s="22" t="s">
        <v>37</v>
      </c>
      <c r="N30" s="22" t="s">
        <v>70</v>
      </c>
      <c r="O30" s="22" t="s">
        <v>75</v>
      </c>
      <c r="P30" s="22" t="s">
        <v>37</v>
      </c>
      <c r="Q30" s="22" t="s">
        <v>70</v>
      </c>
      <c r="R30" s="28" t="s">
        <v>1</v>
      </c>
      <c r="S30" s="28" t="s">
        <v>48</v>
      </c>
    </row>
    <row r="31" s="6" customFormat="1" customHeight="1" spans="1:19">
      <c r="A31" s="21">
        <v>4</v>
      </c>
      <c r="B31" s="21" t="s">
        <v>81</v>
      </c>
      <c r="C31" s="22"/>
      <c r="D31" s="21"/>
      <c r="E31" s="22"/>
      <c r="F31" s="22"/>
      <c r="G31" s="22"/>
      <c r="H31" s="21"/>
      <c r="I31" s="22"/>
      <c r="J31" s="22"/>
      <c r="K31" s="22"/>
      <c r="L31" s="21"/>
      <c r="M31" s="22"/>
      <c r="N31" s="22"/>
      <c r="O31" s="21"/>
      <c r="P31" s="22"/>
      <c r="Q31" s="22"/>
      <c r="R31" s="28"/>
      <c r="S31" s="24"/>
    </row>
    <row r="32" ht="25.75" customHeight="1" spans="1:19">
      <c r="A32" s="29">
        <v>4.1</v>
      </c>
      <c r="B32" s="35" t="s">
        <v>82</v>
      </c>
      <c r="C32" s="35" t="s">
        <v>83</v>
      </c>
      <c r="D32" s="35" t="s">
        <v>83</v>
      </c>
      <c r="E32" s="22" t="s">
        <v>84</v>
      </c>
      <c r="F32" s="22"/>
      <c r="G32" s="22" t="s">
        <v>37</v>
      </c>
      <c r="H32" s="35" t="s">
        <v>83</v>
      </c>
      <c r="I32" s="22" t="s">
        <v>37</v>
      </c>
      <c r="J32" s="22"/>
      <c r="K32" s="22"/>
      <c r="L32" s="35" t="s">
        <v>83</v>
      </c>
      <c r="M32" s="22" t="s">
        <v>37</v>
      </c>
      <c r="N32" s="22"/>
      <c r="O32" s="35" t="s">
        <v>83</v>
      </c>
      <c r="P32" s="22" t="s">
        <v>37</v>
      </c>
      <c r="Q32" s="22" t="s">
        <v>37</v>
      </c>
      <c r="R32" s="28" t="s">
        <v>1</v>
      </c>
      <c r="S32" s="28" t="s">
        <v>48</v>
      </c>
    </row>
    <row r="33" ht="24.75" customHeight="1" spans="1:19">
      <c r="A33" s="29">
        <v>4.2</v>
      </c>
      <c r="B33" s="22" t="s">
        <v>85</v>
      </c>
      <c r="C33" s="35" t="s">
        <v>83</v>
      </c>
      <c r="D33" s="35" t="s">
        <v>83</v>
      </c>
      <c r="E33" s="22" t="s">
        <v>84</v>
      </c>
      <c r="F33" s="22"/>
      <c r="G33" s="22" t="s">
        <v>37</v>
      </c>
      <c r="H33" s="35" t="s">
        <v>83</v>
      </c>
      <c r="I33" s="22" t="s">
        <v>37</v>
      </c>
      <c r="J33" s="22"/>
      <c r="K33" s="22"/>
      <c r="L33" s="35" t="s">
        <v>83</v>
      </c>
      <c r="M33" s="22" t="s">
        <v>37</v>
      </c>
      <c r="N33" s="22"/>
      <c r="O33" s="35" t="s">
        <v>83</v>
      </c>
      <c r="P33" s="22" t="s">
        <v>37</v>
      </c>
      <c r="Q33" s="22" t="s">
        <v>37</v>
      </c>
      <c r="R33" s="28" t="s">
        <v>1</v>
      </c>
      <c r="S33" s="28" t="s">
        <v>48</v>
      </c>
    </row>
    <row r="34" ht="23" customHeight="1" spans="1:19">
      <c r="A34" s="29">
        <v>4.3</v>
      </c>
      <c r="B34" s="22" t="s">
        <v>86</v>
      </c>
      <c r="C34" s="35" t="s">
        <v>83</v>
      </c>
      <c r="D34" s="35" t="s">
        <v>83</v>
      </c>
      <c r="E34" s="22" t="s">
        <v>84</v>
      </c>
      <c r="F34" s="22"/>
      <c r="G34" s="22" t="s">
        <v>37</v>
      </c>
      <c r="H34" s="35" t="s">
        <v>83</v>
      </c>
      <c r="I34" s="22" t="s">
        <v>37</v>
      </c>
      <c r="J34" s="22"/>
      <c r="K34" s="22"/>
      <c r="L34" s="35" t="s">
        <v>83</v>
      </c>
      <c r="M34" s="22" t="s">
        <v>37</v>
      </c>
      <c r="N34" s="22"/>
      <c r="O34" s="35" t="s">
        <v>83</v>
      </c>
      <c r="P34" s="22" t="s">
        <v>37</v>
      </c>
      <c r="Q34" s="22" t="s">
        <v>37</v>
      </c>
      <c r="R34" s="28" t="s">
        <v>1</v>
      </c>
      <c r="S34" s="28" t="s">
        <v>48</v>
      </c>
    </row>
    <row r="35" s="23" customFormat="1" customHeight="1" spans="1:19">
      <c r="A35" s="1"/>
      <c r="R35" s="22"/>
      <c r="S35" s="22"/>
    </row>
    <row r="40" s="23" customFormat="1" customHeight="1" spans="1:19">
      <c r="R40" s="22"/>
      <c r="S40" s="22"/>
    </row>
    <row r="41" s="23" customFormat="1" customHeight="1" spans="1:19">
      <c r="R41" s="22"/>
      <c r="S41" s="22"/>
    </row>
    <row r="42" s="23" customFormat="1" customHeight="1" spans="1:19">
      <c r="R42" s="22"/>
      <c r="S42" s="22"/>
    </row>
    <row r="43" s="22" customFormat="1" customHeight="1"/>
    <row r="45" s="23" customFormat="1" customHeight="1" spans="1:19">
      <c r="R45" s="22"/>
      <c r="S45" s="22"/>
    </row>
    <row r="46" s="23" customFormat="1" customHeight="1" spans="1:19">
      <c r="R46" s="22"/>
      <c r="S46" s="22"/>
    </row>
    <row r="47" s="23" customFormat="1" customHeight="1" spans="1:19">
      <c r="R47" s="22"/>
      <c r="S47" s="22"/>
    </row>
  </sheetData>
  <mergeCells count="4">
    <mergeCell ref="A2:B2"/>
    <mergeCell ref="C2:Q2"/>
    <mergeCell ref="F4:F18"/>
    <mergeCell ref="J4:J1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G10" sqref="G10"/>
    </sheetView>
  </sheetViews>
  <sheetFormatPr defaultColWidth="9" defaultRowHeight="15" outlineLevelCol="4"/>
  <cols>
    <col min="1" max="1" width="4.66371681415929" style="1" customWidth="1"/>
    <col min="2" max="2" width="8" style="1" customWidth="1"/>
    <col min="3" max="3" width="14.6637168141593" style="1" customWidth="1"/>
    <col min="4" max="4" width="13" style="1" customWidth="1"/>
    <col min="5" max="16384" width="9" style="2"/>
  </cols>
  <sheetData>
    <row r="1" s="6" customFormat="1" spans="1:5">
      <c r="A1" s="10" t="s">
        <v>13</v>
      </c>
      <c r="B1" s="10" t="s">
        <v>87</v>
      </c>
      <c r="C1" s="10" t="s">
        <v>88</v>
      </c>
      <c r="D1" s="10" t="s">
        <v>89</v>
      </c>
    </row>
    <row r="2" s="7" customFormat="1" ht="15.35" spans="1:5">
      <c r="A2" s="11">
        <v>1</v>
      </c>
      <c r="B2" s="12" t="s">
        <v>90</v>
      </c>
      <c r="C2" s="12" t="s">
        <v>91</v>
      </c>
      <c r="D2" s="11" t="s">
        <v>92</v>
      </c>
      <c r="E2" s="13"/>
    </row>
    <row r="3" s="7" customFormat="1" spans="1:5">
      <c r="A3" s="11">
        <v>2</v>
      </c>
      <c r="B3" s="14" t="s">
        <v>93</v>
      </c>
      <c r="C3" s="14" t="s">
        <v>94</v>
      </c>
      <c r="D3" s="11" t="s">
        <v>95</v>
      </c>
    </row>
    <row r="4" s="7" customFormat="1" spans="1:5">
      <c r="A4" s="11">
        <v>3</v>
      </c>
      <c r="B4" s="14" t="s">
        <v>96</v>
      </c>
      <c r="C4" s="14" t="s">
        <v>94</v>
      </c>
      <c r="D4" s="11" t="s">
        <v>97</v>
      </c>
    </row>
    <row r="5" s="8" customFormat="1" spans="1:5">
      <c r="A5" s="11">
        <v>4</v>
      </c>
      <c r="B5" s="14" t="s">
        <v>98</v>
      </c>
      <c r="C5" s="14" t="s">
        <v>94</v>
      </c>
      <c r="D5" s="11" t="s">
        <v>99</v>
      </c>
      <c r="E5" s="15"/>
    </row>
    <row r="6" spans="1:5">
      <c r="A6" s="11">
        <v>5</v>
      </c>
      <c r="B6" s="16" t="s">
        <v>100</v>
      </c>
      <c r="C6" s="17" t="s">
        <v>101</v>
      </c>
      <c r="D6" s="11" t="s">
        <v>102</v>
      </c>
    </row>
    <row r="7" s="8" customFormat="1" spans="1:5">
      <c r="A7" s="11">
        <v>6</v>
      </c>
      <c r="B7" s="16" t="s">
        <v>103</v>
      </c>
      <c r="C7" s="17" t="s">
        <v>101</v>
      </c>
      <c r="D7" s="11" t="s">
        <v>104</v>
      </c>
    </row>
    <row r="8" s="9" customFormat="1" ht="15.35" spans="1:5">
      <c r="A8" s="11">
        <v>7</v>
      </c>
      <c r="B8" s="17" t="s">
        <v>7</v>
      </c>
      <c r="C8" s="17" t="s">
        <v>101</v>
      </c>
      <c r="D8" s="11" t="s">
        <v>105</v>
      </c>
      <c r="E8" s="13"/>
    </row>
    <row r="9" spans="1:5">
      <c r="A9" s="11">
        <v>8</v>
      </c>
      <c r="B9" s="18" t="s">
        <v>106</v>
      </c>
      <c r="C9" s="18" t="s">
        <v>107</v>
      </c>
      <c r="D9" s="19" t="s">
        <v>37</v>
      </c>
    </row>
    <row r="10" spans="1:5">
      <c r="A10" s="11">
        <v>9</v>
      </c>
      <c r="B10" s="18" t="s">
        <v>108</v>
      </c>
      <c r="C10" s="18" t="s">
        <v>107</v>
      </c>
      <c r="D10" s="19" t="s">
        <v>37</v>
      </c>
    </row>
    <row r="11" spans="1:5">
      <c r="A11" s="11">
        <v>10</v>
      </c>
      <c r="B11" s="18" t="s">
        <v>109</v>
      </c>
      <c r="C11" s="18" t="s">
        <v>107</v>
      </c>
      <c r="D11" s="19" t="s">
        <v>37</v>
      </c>
    </row>
    <row r="12" spans="1:5">
      <c r="A12" s="11">
        <v>11</v>
      </c>
      <c r="B12" s="20" t="s">
        <v>110</v>
      </c>
      <c r="C12" s="20" t="s">
        <v>111</v>
      </c>
      <c r="D12" s="19" t="s">
        <v>37</v>
      </c>
    </row>
    <row r="13" spans="1:5">
      <c r="A13" s="11">
        <v>12</v>
      </c>
      <c r="B13" s="20" t="s">
        <v>112</v>
      </c>
      <c r="C13" s="20" t="s">
        <v>111</v>
      </c>
      <c r="D13" s="19" t="s">
        <v>37</v>
      </c>
    </row>
    <row r="14" spans="1:5">
      <c r="A14" s="11">
        <v>13</v>
      </c>
      <c r="B14" s="20" t="s">
        <v>113</v>
      </c>
      <c r="C14" s="20" t="s">
        <v>111</v>
      </c>
      <c r="D14" s="19" t="s">
        <v>37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5" sqref="E15"/>
    </sheetView>
  </sheetViews>
  <sheetFormatPr defaultColWidth="9" defaultRowHeight="15" outlineLevelRow="3" outlineLevelCol="4"/>
  <cols>
    <col min="1" max="1" width="15" style="1" customWidth="1"/>
    <col min="2" max="2" width="16" style="1" customWidth="1"/>
    <col min="3" max="3" width="5.66371681415929" style="1" customWidth="1"/>
    <col min="4" max="4" width="8" style="1" customWidth="1"/>
    <col min="5" max="5" width="14" style="1" customWidth="1"/>
    <col min="6" max="6" width="10" style="1" customWidth="1"/>
    <col min="7" max="7" width="18" style="1" customWidth="1"/>
    <col min="8" max="16384" width="9" style="2"/>
  </cols>
  <sheetData>
    <row r="1" spans="1:5">
      <c r="A1" s="1" t="s">
        <v>114</v>
      </c>
      <c r="B1" s="1" t="s">
        <v>115</v>
      </c>
      <c r="C1" s="3" t="s">
        <v>116</v>
      </c>
      <c r="D1" s="3"/>
      <c r="E1" s="1" t="s">
        <v>117</v>
      </c>
    </row>
    <row r="2" spans="1:5">
      <c r="A2" s="4" t="s">
        <v>118</v>
      </c>
      <c r="B2" s="4" t="s">
        <v>79</v>
      </c>
      <c r="C2" s="5" t="s">
        <v>119</v>
      </c>
      <c r="D2" s="4"/>
      <c r="E2" s="4" t="s">
        <v>120</v>
      </c>
    </row>
    <row r="3" spans="1:5">
      <c r="A3" s="4" t="s">
        <v>121</v>
      </c>
      <c r="B3" s="4" t="s">
        <v>122</v>
      </c>
      <c r="C3" s="4" t="s">
        <v>123</v>
      </c>
      <c r="D3" s="4"/>
      <c r="E3" s="4" t="s">
        <v>124</v>
      </c>
    </row>
    <row r="4" spans="1:5">
      <c r="A4" s="4" t="s">
        <v>125</v>
      </c>
      <c r="B4" s="4" t="s">
        <v>78</v>
      </c>
      <c r="C4" s="4" t="s">
        <v>126</v>
      </c>
      <c r="D4" s="4"/>
      <c r="E4" s="4" t="s">
        <v>127</v>
      </c>
    </row>
  </sheetData>
  <mergeCells count="4">
    <mergeCell ref="C1:D1"/>
    <mergeCell ref="C2:D2"/>
    <mergeCell ref="C3:D3"/>
    <mergeCell ref="C4:D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基本信息</vt:lpstr>
      <vt:lpstr>岗位职责</vt:lpstr>
      <vt:lpstr>级别</vt:lpstr>
      <vt:lpstr>管理基础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fenix</cp:lastModifiedBy>
  <dcterms:created xsi:type="dcterms:W3CDTF">2019-05-03T06:27:00Z</dcterms:created>
  <dcterms:modified xsi:type="dcterms:W3CDTF">2026-07-13T19:21:17Z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394BCA414974B634D59A116834EDEE7F_43</vt:lpwstr>
  </property>
  <property fmtid="{D5CDD505-2E9C-101B-9397-08002B2CF9AE}" pid="4" name="CalculationRule">
    <vt:i4>0</vt:i4>
  </property>
</Properties>
</file>